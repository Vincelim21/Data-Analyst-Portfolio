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B:\Projects\Data-Analyst-Portfolio\excel-project-coffee-sales\"/>
    </mc:Choice>
  </mc:AlternateContent>
  <xr:revisionPtr revIDLastSave="0" documentId="13_ncr:1_{A5677119-7663-4E83-BE91-EEF4337859E1}" xr6:coauthVersionLast="47" xr6:coauthVersionMax="47" xr10:uidLastSave="{00000000-0000-0000-0000-000000000000}"/>
  <bookViews>
    <workbookView xWindow="-120" yWindow="-120" windowWidth="29040" windowHeight="15840" activeTab="3" xr2:uid="{00000000-000D-0000-FFFF-FFFF00000000}"/>
  </bookViews>
  <sheets>
    <sheet name="TotalSales" sheetId="18" r:id="rId1"/>
    <sheet name="CountryBarChart" sheetId="19" r:id="rId2"/>
    <sheet name="Top5Customers" sheetId="20" r:id="rId3"/>
    <sheet name="Dashboard"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7" l="1"/>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810" i="17"/>
  <c r="N100" i="17"/>
  <c r="N110" i="17"/>
  <c r="N292" i="17"/>
  <c r="N302" i="17"/>
  <c r="N484" i="17"/>
  <c r="N494" i="17"/>
  <c r="N657" i="17"/>
  <c r="N658" i="17"/>
  <c r="N751" i="17"/>
  <c r="N752" i="17"/>
  <c r="N799" i="17"/>
  <c r="N800" i="17"/>
  <c r="N847" i="17"/>
  <c r="N848" i="17"/>
  <c r="N895" i="17"/>
  <c r="N896" i="17"/>
  <c r="N943" i="17"/>
  <c r="N944" i="17"/>
  <c r="N992" i="17"/>
  <c r="M29" i="17"/>
  <c r="M39" i="17"/>
  <c r="M40" i="17"/>
  <c r="M87" i="17"/>
  <c r="M88" i="17"/>
  <c r="M135" i="17"/>
  <c r="M136" i="17"/>
  <c r="M183" i="17"/>
  <c r="M184" i="17"/>
  <c r="M231" i="17"/>
  <c r="M232" i="17"/>
  <c r="M279" i="17"/>
  <c r="M280" i="17"/>
  <c r="M327" i="17"/>
  <c r="M328" i="17"/>
  <c r="M375" i="17"/>
  <c r="M376" i="17"/>
  <c r="M423" i="17"/>
  <c r="M424" i="17"/>
  <c r="M461" i="17"/>
  <c r="M468" i="17"/>
  <c r="M492" i="17"/>
  <c r="M495" i="17"/>
  <c r="M515" i="17"/>
  <c r="M516" i="17"/>
  <c r="M533" i="17"/>
  <c r="M538" i="17"/>
  <c r="M554" i="17"/>
  <c r="M555" i="17"/>
  <c r="M568" i="17"/>
  <c r="M569" i="17"/>
  <c r="M580" i="17"/>
  <c r="M581" i="17"/>
  <c r="M592" i="17"/>
  <c r="M593" i="17"/>
  <c r="M604" i="17"/>
  <c r="M605" i="17"/>
  <c r="M616" i="17"/>
  <c r="M617" i="17"/>
  <c r="M628" i="17"/>
  <c r="M629" i="17"/>
  <c r="M640" i="17"/>
  <c r="M641" i="17"/>
  <c r="M652" i="17"/>
  <c r="M653" i="17"/>
  <c r="M664" i="17"/>
  <c r="M665" i="17"/>
  <c r="M676" i="17"/>
  <c r="M677" i="17"/>
  <c r="M688" i="17"/>
  <c r="M689" i="17"/>
  <c r="M700" i="17"/>
  <c r="M701" i="17"/>
  <c r="M712" i="17"/>
  <c r="M713" i="17"/>
  <c r="M724" i="17"/>
  <c r="M725" i="17"/>
  <c r="M736" i="17"/>
  <c r="M737" i="17"/>
  <c r="M748" i="17"/>
  <c r="M749" i="17"/>
  <c r="M760" i="17"/>
  <c r="M761" i="17"/>
  <c r="M772" i="17"/>
  <c r="M773" i="17"/>
  <c r="M784" i="17"/>
  <c r="M785" i="17"/>
  <c r="M796" i="17"/>
  <c r="M797" i="17"/>
  <c r="M808" i="17"/>
  <c r="M809" i="17"/>
  <c r="M820" i="17"/>
  <c r="M821" i="17"/>
  <c r="M832" i="17"/>
  <c r="M833" i="17"/>
  <c r="M844" i="17"/>
  <c r="M845" i="17"/>
  <c r="M856" i="17"/>
  <c r="M857" i="17"/>
  <c r="M868" i="17"/>
  <c r="M869" i="17"/>
  <c r="M880" i="17"/>
  <c r="M881" i="17"/>
  <c r="M892" i="17"/>
  <c r="M893" i="17"/>
  <c r="M904" i="17"/>
  <c r="M905" i="17"/>
  <c r="M916" i="17"/>
  <c r="M917" i="17"/>
  <c r="M928" i="17"/>
  <c r="M929" i="17"/>
  <c r="M940" i="17"/>
  <c r="M941" i="17"/>
  <c r="M952" i="17"/>
  <c r="M953" i="17"/>
  <c r="M964" i="17"/>
  <c r="M965" i="17"/>
  <c r="M976" i="17"/>
  <c r="M977" i="17"/>
  <c r="M988" i="17"/>
  <c r="M989" i="17"/>
  <c r="M1000" i="17"/>
  <c r="M1001" i="17"/>
  <c r="K15" i="17"/>
  <c r="J11" i="17"/>
  <c r="O11" i="17" s="1"/>
  <c r="I7" i="17"/>
  <c r="N7"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I40" i="17"/>
  <c r="N40" i="17" s="1"/>
  <c r="J40" i="17"/>
  <c r="O40" i="17" s="1"/>
  <c r="K40" i="17"/>
  <c r="L40" i="17"/>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I88" i="17"/>
  <c r="N88" i="17" s="1"/>
  <c r="J88" i="17"/>
  <c r="O88" i="17" s="1"/>
  <c r="K88" i="17"/>
  <c r="L88" i="17"/>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I136" i="17"/>
  <c r="N136" i="17" s="1"/>
  <c r="J136" i="17"/>
  <c r="O136" i="17" s="1"/>
  <c r="K136" i="17"/>
  <c r="L136" i="17"/>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I184" i="17"/>
  <c r="N184" i="17" s="1"/>
  <c r="J184" i="17"/>
  <c r="O184" i="17" s="1"/>
  <c r="K184" i="17"/>
  <c r="L184" i="17"/>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I232" i="17"/>
  <c r="N232" i="17" s="1"/>
  <c r="J232" i="17"/>
  <c r="O232" i="17" s="1"/>
  <c r="K232" i="17"/>
  <c r="L232" i="17"/>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I280" i="17"/>
  <c r="N280" i="17" s="1"/>
  <c r="J280" i="17"/>
  <c r="O280" i="17" s="1"/>
  <c r="K280" i="17"/>
  <c r="L280" i="17"/>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I328" i="17"/>
  <c r="N328" i="17" s="1"/>
  <c r="J328" i="17"/>
  <c r="O328" i="17" s="1"/>
  <c r="K328" i="17"/>
  <c r="L328" i="17"/>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I376" i="17"/>
  <c r="N376" i="17" s="1"/>
  <c r="J376" i="17"/>
  <c r="O376" i="17" s="1"/>
  <c r="K376" i="17"/>
  <c r="L376" i="17"/>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I424" i="17"/>
  <c r="N424" i="17" s="1"/>
  <c r="J424" i="17"/>
  <c r="O424" i="17" s="1"/>
  <c r="K424" i="17"/>
  <c r="L424" i="17"/>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I493" i="17"/>
  <c r="N493" i="17" s="1"/>
  <c r="J493" i="17"/>
  <c r="O493" i="17" s="1"/>
  <c r="K493" i="17"/>
  <c r="L493" i="17"/>
  <c r="M493" i="17" s="1"/>
  <c r="I494" i="17"/>
  <c r="J494" i="17"/>
  <c r="O494" i="17" s="1"/>
  <c r="K494" i="17"/>
  <c r="L494" i="17"/>
  <c r="M494" i="17" s="1"/>
  <c r="I495" i="17"/>
  <c r="N495" i="17" s="1"/>
  <c r="J495" i="17"/>
  <c r="O495" i="17" s="1"/>
  <c r="K495" i="17"/>
  <c r="L495" i="17"/>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I516" i="17"/>
  <c r="N516" i="17" s="1"/>
  <c r="J516" i="17"/>
  <c r="O516" i="17" s="1"/>
  <c r="K516" i="17"/>
  <c r="L516" i="17"/>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I555" i="17"/>
  <c r="N555" i="17" s="1"/>
  <c r="J555" i="17"/>
  <c r="O555" i="17" s="1"/>
  <c r="K555" i="17"/>
  <c r="L555" i="17"/>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I569" i="17"/>
  <c r="N569" i="17" s="1"/>
  <c r="J569" i="17"/>
  <c r="O569" i="17" s="1"/>
  <c r="K569" i="17"/>
  <c r="L569" i="17"/>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I581" i="17"/>
  <c r="N581" i="17" s="1"/>
  <c r="J581" i="17"/>
  <c r="O581" i="17" s="1"/>
  <c r="K581" i="17"/>
  <c r="L581" i="17"/>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I593" i="17"/>
  <c r="N593" i="17" s="1"/>
  <c r="J593" i="17"/>
  <c r="O593" i="17" s="1"/>
  <c r="K593" i="17"/>
  <c r="L593" i="17"/>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I605" i="17"/>
  <c r="N605" i="17" s="1"/>
  <c r="J605" i="17"/>
  <c r="O605" i="17" s="1"/>
  <c r="K605" i="17"/>
  <c r="L605" i="17"/>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I617" i="17"/>
  <c r="N617" i="17" s="1"/>
  <c r="J617" i="17"/>
  <c r="O617" i="17" s="1"/>
  <c r="K617" i="17"/>
  <c r="L617" i="17"/>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I629" i="17"/>
  <c r="N629" i="17" s="1"/>
  <c r="J629" i="17"/>
  <c r="O629" i="17" s="1"/>
  <c r="K629" i="17"/>
  <c r="L629" i="17"/>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I641" i="17"/>
  <c r="N641" i="17" s="1"/>
  <c r="J641" i="17"/>
  <c r="O641" i="17" s="1"/>
  <c r="K641" i="17"/>
  <c r="L641" i="17"/>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I653" i="17"/>
  <c r="N653" i="17" s="1"/>
  <c r="J653" i="17"/>
  <c r="O653" i="17" s="1"/>
  <c r="K653" i="17"/>
  <c r="L653" i="17"/>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J657" i="17"/>
  <c r="O657" i="17" s="1"/>
  <c r="K657" i="17"/>
  <c r="L657" i="17"/>
  <c r="M657" i="17" s="1"/>
  <c r="I658" i="17"/>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I665" i="17"/>
  <c r="N665" i="17" s="1"/>
  <c r="J665" i="17"/>
  <c r="O665" i="17" s="1"/>
  <c r="K665" i="17"/>
  <c r="L665" i="17"/>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I677" i="17"/>
  <c r="N677" i="17" s="1"/>
  <c r="J677" i="17"/>
  <c r="O677" i="17" s="1"/>
  <c r="K677" i="17"/>
  <c r="L677" i="17"/>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I689" i="17"/>
  <c r="N689" i="17" s="1"/>
  <c r="J689" i="17"/>
  <c r="O689" i="17" s="1"/>
  <c r="K689" i="17"/>
  <c r="L689" i="17"/>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I701" i="17"/>
  <c r="N701" i="17" s="1"/>
  <c r="J701" i="17"/>
  <c r="O701" i="17" s="1"/>
  <c r="K701" i="17"/>
  <c r="L701" i="17"/>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I713" i="17"/>
  <c r="N713" i="17" s="1"/>
  <c r="J713" i="17"/>
  <c r="O713" i="17" s="1"/>
  <c r="K713" i="17"/>
  <c r="L713" i="17"/>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I725" i="17"/>
  <c r="N725" i="17" s="1"/>
  <c r="J725" i="17"/>
  <c r="O725" i="17" s="1"/>
  <c r="K725" i="17"/>
  <c r="L725" i="17"/>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I737" i="17"/>
  <c r="N737" i="17" s="1"/>
  <c r="J737" i="17"/>
  <c r="O737" i="17" s="1"/>
  <c r="K737" i="17"/>
  <c r="L737" i="17"/>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I749" i="17"/>
  <c r="N749" i="17" s="1"/>
  <c r="J749" i="17"/>
  <c r="O749" i="17" s="1"/>
  <c r="K749" i="17"/>
  <c r="L749" i="17"/>
  <c r="I750" i="17"/>
  <c r="N750" i="17" s="1"/>
  <c r="J750" i="17"/>
  <c r="O750" i="17" s="1"/>
  <c r="K750" i="17"/>
  <c r="L750" i="17"/>
  <c r="M750" i="17" s="1"/>
  <c r="I751" i="17"/>
  <c r="J751" i="17"/>
  <c r="O751" i="17" s="1"/>
  <c r="K751" i="17"/>
  <c r="L751" i="17"/>
  <c r="M751" i="17" s="1"/>
  <c r="I752" i="17"/>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I761" i="17"/>
  <c r="N761" i="17" s="1"/>
  <c r="J761" i="17"/>
  <c r="O761" i="17" s="1"/>
  <c r="K761" i="17"/>
  <c r="L761" i="17"/>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I773" i="17"/>
  <c r="N773" i="17" s="1"/>
  <c r="J773" i="17"/>
  <c r="O773" i="17" s="1"/>
  <c r="K773" i="17"/>
  <c r="L773" i="17"/>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I785" i="17"/>
  <c r="N785" i="17" s="1"/>
  <c r="J785" i="17"/>
  <c r="O785" i="17" s="1"/>
  <c r="K785" i="17"/>
  <c r="L785" i="17"/>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I797" i="17"/>
  <c r="N797" i="17" s="1"/>
  <c r="J797" i="17"/>
  <c r="O797" i="17" s="1"/>
  <c r="K797" i="17"/>
  <c r="L797" i="17"/>
  <c r="I798" i="17"/>
  <c r="N798" i="17" s="1"/>
  <c r="J798" i="17"/>
  <c r="O798" i="17" s="1"/>
  <c r="K798" i="17"/>
  <c r="L798" i="17"/>
  <c r="M798" i="17" s="1"/>
  <c r="I799" i="17"/>
  <c r="J799" i="17"/>
  <c r="O799" i="17" s="1"/>
  <c r="K799" i="17"/>
  <c r="L799" i="17"/>
  <c r="M799" i="17" s="1"/>
  <c r="I800" i="17"/>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I809" i="17"/>
  <c r="N809" i="17" s="1"/>
  <c r="J809" i="17"/>
  <c r="O809" i="17" s="1"/>
  <c r="K809" i="17"/>
  <c r="L809" i="17"/>
  <c r="I810" i="17"/>
  <c r="N810" i="17" s="1"/>
  <c r="J810" i="17"/>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I821" i="17"/>
  <c r="N821" i="17" s="1"/>
  <c r="J821" i="17"/>
  <c r="O821" i="17" s="1"/>
  <c r="K821" i="17"/>
  <c r="L821" i="17"/>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I833" i="17"/>
  <c r="N833" i="17" s="1"/>
  <c r="J833" i="17"/>
  <c r="O833" i="17" s="1"/>
  <c r="K833" i="17"/>
  <c r="L833" i="17"/>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I845" i="17"/>
  <c r="N845" i="17" s="1"/>
  <c r="J845" i="17"/>
  <c r="O845" i="17" s="1"/>
  <c r="K845" i="17"/>
  <c r="L845" i="17"/>
  <c r="I846" i="17"/>
  <c r="N846" i="17" s="1"/>
  <c r="J846" i="17"/>
  <c r="O846" i="17" s="1"/>
  <c r="K846" i="17"/>
  <c r="L846" i="17"/>
  <c r="M846" i="17" s="1"/>
  <c r="I847" i="17"/>
  <c r="J847" i="17"/>
  <c r="O847" i="17" s="1"/>
  <c r="K847" i="17"/>
  <c r="L847" i="17"/>
  <c r="M847" i="17" s="1"/>
  <c r="I848" i="17"/>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I857" i="17"/>
  <c r="N857" i="17" s="1"/>
  <c r="J857" i="17"/>
  <c r="O857" i="17" s="1"/>
  <c r="K857" i="17"/>
  <c r="L857" i="17"/>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I869" i="17"/>
  <c r="N869" i="17" s="1"/>
  <c r="J869" i="17"/>
  <c r="O869" i="17" s="1"/>
  <c r="K869" i="17"/>
  <c r="L869" i="17"/>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I881" i="17"/>
  <c r="N881" i="17" s="1"/>
  <c r="J881" i="17"/>
  <c r="O881" i="17" s="1"/>
  <c r="K881" i="17"/>
  <c r="L881" i="17"/>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I893" i="17"/>
  <c r="N893" i="17" s="1"/>
  <c r="J893" i="17"/>
  <c r="O893" i="17" s="1"/>
  <c r="K893" i="17"/>
  <c r="L893" i="17"/>
  <c r="I894" i="17"/>
  <c r="N894" i="17" s="1"/>
  <c r="J894" i="17"/>
  <c r="O894" i="17" s="1"/>
  <c r="K894" i="17"/>
  <c r="L894" i="17"/>
  <c r="M894" i="17" s="1"/>
  <c r="I895" i="17"/>
  <c r="J895" i="17"/>
  <c r="O895" i="17" s="1"/>
  <c r="K895" i="17"/>
  <c r="L895" i="17"/>
  <c r="M895" i="17" s="1"/>
  <c r="I896" i="17"/>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I905" i="17"/>
  <c r="N905" i="17" s="1"/>
  <c r="J905" i="17"/>
  <c r="O905" i="17" s="1"/>
  <c r="K905" i="17"/>
  <c r="L905" i="17"/>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I917" i="17"/>
  <c r="N917" i="17" s="1"/>
  <c r="J917" i="17"/>
  <c r="O917" i="17" s="1"/>
  <c r="K917" i="17"/>
  <c r="L917" i="17"/>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I929" i="17"/>
  <c r="N929" i="17" s="1"/>
  <c r="J929" i="17"/>
  <c r="O929" i="17" s="1"/>
  <c r="K929" i="17"/>
  <c r="L929" i="17"/>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I941" i="17"/>
  <c r="N941" i="17" s="1"/>
  <c r="J941" i="17"/>
  <c r="O941" i="17" s="1"/>
  <c r="K941" i="17"/>
  <c r="L941" i="17"/>
  <c r="I942" i="17"/>
  <c r="N942" i="17" s="1"/>
  <c r="J942" i="17"/>
  <c r="O942" i="17" s="1"/>
  <c r="K942" i="17"/>
  <c r="L942" i="17"/>
  <c r="M942" i="17" s="1"/>
  <c r="I943" i="17"/>
  <c r="J943" i="17"/>
  <c r="O943" i="17" s="1"/>
  <c r="K943" i="17"/>
  <c r="L943" i="17"/>
  <c r="M943" i="17" s="1"/>
  <c r="I944" i="17"/>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I953" i="17"/>
  <c r="N953" i="17" s="1"/>
  <c r="J953" i="17"/>
  <c r="O953" i="17" s="1"/>
  <c r="K953" i="17"/>
  <c r="L953" i="17"/>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I965" i="17"/>
  <c r="N965" i="17" s="1"/>
  <c r="J965" i="17"/>
  <c r="O965" i="17" s="1"/>
  <c r="K965" i="17"/>
  <c r="L965" i="17"/>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I977" i="17"/>
  <c r="N977" i="17" s="1"/>
  <c r="J977" i="17"/>
  <c r="O977" i="17" s="1"/>
  <c r="K977" i="17"/>
  <c r="L977" i="17"/>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I989" i="17"/>
  <c r="N989" i="17" s="1"/>
  <c r="J989" i="17"/>
  <c r="O989" i="17" s="1"/>
  <c r="K989" i="17"/>
  <c r="L989" i="17"/>
  <c r="I990" i="17"/>
  <c r="N990" i="17" s="1"/>
  <c r="J990" i="17"/>
  <c r="O990" i="17" s="1"/>
  <c r="K990" i="17"/>
  <c r="L990" i="17"/>
  <c r="M990" i="17" s="1"/>
  <c r="I991" i="17"/>
  <c r="N991" i="17" s="1"/>
  <c r="J991" i="17"/>
  <c r="O991" i="17" s="1"/>
  <c r="K991" i="17"/>
  <c r="L991" i="17"/>
  <c r="M991" i="17" s="1"/>
  <c r="I992" i="17"/>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I1001" i="17"/>
  <c r="N1001" i="17" s="1"/>
  <c r="J1001" i="17"/>
  <c r="O1001" i="17" s="1"/>
  <c r="K1001" i="17"/>
  <c r="L1001" i="17"/>
  <c r="K2" i="17"/>
  <c r="J2" i="17"/>
  <c r="O2" i="17" s="1"/>
  <c r="I2" i="17"/>
  <c r="N2" i="17" s="1"/>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<sst xmlns="http://schemas.openxmlformats.org/spreadsheetml/2006/main" count="11128" uniqueCount="6221">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</sst>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0_ ;\-#,##0\ "/>
    <numFmt numFmtId="169" formatCode="[$$-409]#,##0_ ;\-[$$-409]#,##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169"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BB973158-7F32-4859-AF1F-6D0D5C60F7A9}">
      <tableStyleElement type="wholeTable" dxfId="15"/>
      <tableStyleElement type="headerRow" dxfId="14"/>
    </tableStyle>
    <tableStyle name="Purple Timeline Style" pivot="0" table="0" count="8" xr9:uid="{C0FEF3CD-4A19-464E-8C84-93021BE26DE9}">
      <tableStyleElement type="wholeTable" dxfId="13"/>
      <tableStyleElement type="headerRow" dxfId="12"/>
    </tableStyle>
  </tableStyles>
  <colors>
    <mruColors>
      <color rgb="FF3C1464"/>
      <color rgb="FF93FFC4"/>
      <color rgb="FF37FF91"/>
      <color rgb="FF00602B"/>
      <color rgb="FFA162E0"/>
      <color rgb="FF668CD0"/>
      <color rgb="FF4674C6"/>
      <color rgb="FFA94D0F"/>
      <color rgb="FFD3B6F0"/>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A162E0"/>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[Coffee_Orders_Data_Analysis.xlsx]TotalSales!TotalSales</c:name>
    <c:fmtId val="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PH"/>
              <a:t>Total Sales</a:t>
            </a:r>
            <a:r>
              <a:rPr lang="en-PH" baseline="0"/>
              <a: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A94D0F"/>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pivotFmt>
      <c:pivotFmt>
        <c:idx val="5"/>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A94D0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A94D0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FFD-4206-AC8A-716B6D4C23A1}"/>
            </c:ext>
          </c:extLst>
        </c:ser>
        <c:ser>
          <c:idx val="1"/>
          <c:order val="1"/>
          <c:tx>
            <c:strRef>
              <c:f>TotalSales!$D$3:$D$4</c:f>
              <c:strCache>
                <c:ptCount val="1"/>
                <c:pt idx="0">
                  <c:v>Excelsa</c:v>
                </c:pt>
              </c:strCache>
            </c:strRef>
          </c:tx>
          <c:spPr>
            <a:ln w="28575" cap="rnd">
              <a:solidFill>
                <a:srgbClr val="A94D0F"/>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0FFD-4206-AC8A-716B6D4C23A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0FFD-4206-AC8A-716B6D4C23A1}"/>
            </c:ext>
          </c:extLst>
        </c:ser>
        <c:ser>
          <c:idx val="3"/>
          <c:order val="3"/>
          <c:tx>
            <c:strRef>
              <c:f>TotalSales!$F$3:$F$4</c:f>
              <c:strCache>
                <c:ptCount val="1"/>
                <c:pt idx="0">
                  <c:v>Robusta</c:v>
                </c:pt>
              </c:strCache>
            </c:strRef>
          </c:tx>
          <c:spPr>
            <a:ln w="28575" cap="rnd">
              <a:solidFill>
                <a:srgbClr val="C0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0FFD-4206-AC8A-716B6D4C23A1}"/>
            </c:ext>
          </c:extLst>
        </c:ser>
        <c:dLbls>
          <c:showLegendKey val="0"/>
          <c:showVal val="0"/>
          <c:showCatName val="0"/>
          <c:showSerName val="0"/>
          <c:showPercent val="0"/>
          <c:showBubbleSize val="0"/>
        </c:dLbls>
        <c:smooth val="0"/>
        <c:axId val="860979951"/>
        <c:axId val="986593343"/>
      </c:lineChart>
      <c:catAx>
        <c:axId val="86097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986593343"/>
        <c:crosses val="autoZero"/>
        <c:auto val="1"/>
        <c:lblAlgn val="ctr"/>
        <c:lblOffset val="100"/>
        <c:noMultiLvlLbl val="0"/>
      </c:catAx>
      <c:valAx>
        <c:axId val="986593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PH"/>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6097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3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[Coffee_Orders_Data_Analysis.xlsx]CountryBarChart!TotalSales</c:name>
    <c:fmtId val="1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02B"/>
          </a:solidFill>
          <a:ln w="25400">
            <a:solidFill>
              <a:schemeClr val="bg1"/>
            </a:solidFill>
          </a:ln>
          <a:effectLst/>
        </c:spPr>
      </c:pivotFmt>
      <c:pivotFmt>
        <c:idx val="2"/>
        <c:spPr>
          <a:solidFill>
            <a:srgbClr val="37FF91"/>
          </a:solidFill>
          <a:ln w="25400">
            <a:solidFill>
              <a:schemeClr val="bg1"/>
            </a:solidFill>
          </a:ln>
          <a:effectLst/>
        </c:spPr>
      </c:pivotFmt>
      <c:pivotFmt>
        <c:idx val="3"/>
        <c:spPr>
          <a:solidFill>
            <a:srgbClr val="93FFC4"/>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3FFC4"/>
          </a:solidFill>
          <a:ln w="25400">
            <a:solidFill>
              <a:schemeClr val="bg1"/>
            </a:solidFill>
          </a:ln>
          <a:effectLst/>
        </c:spPr>
      </c:pivotFmt>
      <c:pivotFmt>
        <c:idx val="6"/>
        <c:spPr>
          <a:solidFill>
            <a:srgbClr val="37FF91"/>
          </a:solidFill>
          <a:ln w="25400">
            <a:solidFill>
              <a:schemeClr val="bg1"/>
            </a:solidFill>
          </a:ln>
          <a:effectLst/>
        </c:spPr>
      </c:pivotFmt>
      <c:pivotFmt>
        <c:idx val="7"/>
        <c:spPr>
          <a:solidFill>
            <a:srgbClr val="00602B"/>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3FFC4"/>
          </a:solidFill>
          <a:ln w="25400">
            <a:solidFill>
              <a:schemeClr val="bg1"/>
            </a:solidFill>
          </a:ln>
          <a:effectLst/>
        </c:spPr>
      </c:pivotFmt>
      <c:pivotFmt>
        <c:idx val="10"/>
        <c:spPr>
          <a:solidFill>
            <a:srgbClr val="37FF91"/>
          </a:solidFill>
          <a:ln w="25400">
            <a:solidFill>
              <a:schemeClr val="bg1"/>
            </a:solidFill>
          </a:ln>
          <a:effectLst/>
        </c:spPr>
      </c:pivotFmt>
      <c:pivotFmt>
        <c:idx val="11"/>
        <c:spPr>
          <a:solidFill>
            <a:srgbClr val="00602B"/>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93FFC4"/>
              </a:solidFill>
              <a:ln w="25400">
                <a:solidFill>
                  <a:schemeClr val="bg1"/>
                </a:solidFill>
              </a:ln>
              <a:effectLst/>
            </c:spPr>
            <c:extLst>
              <c:ext xmlns:c16="http://schemas.microsoft.com/office/drawing/2014/chart" uri="{C3380CC4-5D6E-409C-BE32-E72D297353CC}">
                <c16:uniqueId val="{00000001-3EDF-49FB-BBC9-918950A42B24}"/>
              </c:ext>
            </c:extLst>
          </c:dPt>
          <c:dPt>
            <c:idx val="1"/>
            <c:invertIfNegative val="0"/>
            <c:bubble3D val="0"/>
            <c:spPr>
              <a:solidFill>
                <a:srgbClr val="37FF91"/>
              </a:solidFill>
              <a:ln w="25400">
                <a:solidFill>
                  <a:schemeClr val="bg1"/>
                </a:solidFill>
              </a:ln>
              <a:effectLst/>
            </c:spPr>
            <c:extLst>
              <c:ext xmlns:c16="http://schemas.microsoft.com/office/drawing/2014/chart" uri="{C3380CC4-5D6E-409C-BE32-E72D297353CC}">
                <c16:uniqueId val="{00000003-3EDF-49FB-BBC9-918950A42B24}"/>
              </c:ext>
            </c:extLst>
          </c:dPt>
          <c:dPt>
            <c:idx val="2"/>
            <c:invertIfNegative val="0"/>
            <c:bubble3D val="0"/>
            <c:spPr>
              <a:solidFill>
                <a:srgbClr val="00602B"/>
              </a:solidFill>
              <a:ln w="25400">
                <a:solidFill>
                  <a:schemeClr val="bg1"/>
                </a:solidFill>
              </a:ln>
              <a:effectLst/>
            </c:spPr>
            <c:extLst>
              <c:ext xmlns:c16="http://schemas.microsoft.com/office/drawing/2014/chart" uri="{C3380CC4-5D6E-409C-BE32-E72D297353CC}">
                <c16:uniqueId val="{00000005-3EDF-49FB-BBC9-918950A42B2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3EDF-49FB-BBC9-918950A42B24}"/>
            </c:ext>
          </c:extLst>
        </c:ser>
        <c:dLbls>
          <c:dLblPos val="outEnd"/>
          <c:showLegendKey val="0"/>
          <c:showVal val="1"/>
          <c:showCatName val="0"/>
          <c:showSerName val="0"/>
          <c:showPercent val="0"/>
          <c:showBubbleSize val="0"/>
        </c:dLbls>
        <c:gapWidth val="182"/>
        <c:axId val="1015362655"/>
        <c:axId val="1015357375"/>
      </c:barChart>
      <c:catAx>
        <c:axId val="1015362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015357375"/>
        <c:crosses val="autoZero"/>
        <c:auto val="1"/>
        <c:lblAlgn val="ctr"/>
        <c:lblOffset val="100"/>
        <c:noMultiLvlLbl val="0"/>
      </c:catAx>
      <c:valAx>
        <c:axId val="1015357375"/>
        <c:scaling>
          <c:orientation val="minMax"/>
        </c:scaling>
        <c:delete val="0"/>
        <c:axPos val="b"/>
        <c:majorGridlines>
          <c:spPr>
            <a:ln w="9525" cap="flat" cmpd="sng" algn="ctr">
              <a:solidFill>
                <a:schemeClr val="bg1"/>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015362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3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[Coffee_Orders_Data_Analysis.xlsx]Top5Customers!TotalSales</c:name>
    <c:fmtId val="1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02B"/>
          </a:solidFill>
          <a:ln w="25400">
            <a:solidFill>
              <a:schemeClr val="bg1"/>
            </a:solidFill>
          </a:ln>
          <a:effectLst/>
        </c:spPr>
      </c:pivotFmt>
      <c:pivotFmt>
        <c:idx val="2"/>
        <c:spPr>
          <a:solidFill>
            <a:srgbClr val="37FF91"/>
          </a:solidFill>
          <a:ln w="25400">
            <a:solidFill>
              <a:schemeClr val="bg1"/>
            </a:solidFill>
          </a:ln>
          <a:effectLst/>
        </c:spPr>
      </c:pivotFmt>
      <c:pivotFmt>
        <c:idx val="3"/>
        <c:spPr>
          <a:solidFill>
            <a:srgbClr val="93FFC4"/>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3FFC4"/>
          </a:solidFill>
          <a:ln w="25400">
            <a:solidFill>
              <a:schemeClr val="bg1"/>
            </a:solidFill>
          </a:ln>
          <a:effectLst/>
        </c:spPr>
      </c:pivotFmt>
      <c:pivotFmt>
        <c:idx val="6"/>
        <c:spPr>
          <a:solidFill>
            <a:srgbClr val="37FF91"/>
          </a:solidFill>
          <a:ln w="25400">
            <a:solidFill>
              <a:schemeClr val="bg1"/>
            </a:solidFill>
          </a:ln>
          <a:effectLst/>
        </c:spPr>
      </c:pivotFmt>
      <c:pivotFmt>
        <c:idx val="7"/>
        <c:spPr>
          <a:solidFill>
            <a:srgbClr val="00602B"/>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E475-4D26-A819-C1B7DF51C5C2}"/>
              </c:ext>
            </c:extLst>
          </c:dPt>
          <c:dPt>
            <c:idx val="1"/>
            <c:invertIfNegative val="0"/>
            <c:bubble3D val="0"/>
            <c:extLst>
              <c:ext xmlns:c16="http://schemas.microsoft.com/office/drawing/2014/chart" uri="{C3380CC4-5D6E-409C-BE32-E72D297353CC}">
                <c16:uniqueId val="{00000001-E475-4D26-A819-C1B7DF51C5C2}"/>
              </c:ext>
            </c:extLst>
          </c:dPt>
          <c:dPt>
            <c:idx val="2"/>
            <c:invertIfNegative val="0"/>
            <c:bubble3D val="0"/>
            <c:extLst>
              <c:ext xmlns:c16="http://schemas.microsoft.com/office/drawing/2014/chart" uri="{C3380CC4-5D6E-409C-BE32-E72D297353CC}">
                <c16:uniqueId val="{00000002-E475-4D26-A819-C1B7DF51C5C2}"/>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E475-4D26-A819-C1B7DF51C5C2}"/>
            </c:ext>
          </c:extLst>
        </c:ser>
        <c:dLbls>
          <c:dLblPos val="outEnd"/>
          <c:showLegendKey val="0"/>
          <c:showVal val="1"/>
          <c:showCatName val="0"/>
          <c:showSerName val="0"/>
          <c:showPercent val="0"/>
          <c:showBubbleSize val="0"/>
        </c:dLbls>
        <c:gapWidth val="182"/>
        <c:axId val="1015362655"/>
        <c:axId val="1015357375"/>
      </c:barChart>
      <c:catAx>
        <c:axId val="1015362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015357375"/>
        <c:crosses val="autoZero"/>
        <c:auto val="1"/>
        <c:lblAlgn val="ctr"/>
        <c:lblOffset val="100"/>
        <c:noMultiLvlLbl val="0"/>
      </c:catAx>
      <c:valAx>
        <c:axId val="1015357375"/>
        <c:scaling>
          <c:orientation val="minMax"/>
        </c:scaling>
        <c:delete val="0"/>
        <c:axPos val="b"/>
        <c:majorGridlines>
          <c:spPr>
            <a:ln w="9525" cap="flat" cmpd="sng" algn="ctr">
              <a:solidFill>
                <a:schemeClr val="bg1"/>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015362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3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4" name="Rectangle 3">
          <a:extLst>
            <a:ext uri="{FF2B5EF4-FFF2-40B4-BE49-F238E27FC236}">
              <a16:creationId xmlns:a16="http://schemas.microsoft.com/office/drawing/2014/main" id="{EB86557E-B349-E840-9EC0-22D27D137649}"/>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4800">
              <a:solidFill>
                <a:schemeClr val="bg1"/>
              </a:solidFill>
            </a:rPr>
            <a:t>COFFEE SALES DASHBOARD</a:t>
          </a:r>
        </a:p>
      </xdr:txBody>
    </xdr:sp>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4B4062EF-610F-4990-8F87-8BE0F8144251}"/>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57250"/>
              <a:ext cx="9867900" cy="1752600"/>
            </a:xfrm>
            <a:prstGeom prst="rect">
              <a:avLst/>
            </a:prstGeom>
            <a:solidFill>
              <a:prstClr val="white"/>
            </a:solidFill>
            <a:ln w="1">
              <a:solidFill>
                <a:prstClr val="green"/>
              </a:solidFill>
            </a:ln>
          </xdr:spPr>
          <xdr:txBody>
            <a:bodyPr vertOverflow="clip" horzOverflow="clip"/>
            <a:lstStyle/>
            <a:p>
              <a:r>
                <a:rPr lang="en-PH" sz="1100"/>
                <a:t>Timeline: Works in Excel 2013 or higher. Do not move or resize.</a:t>
              </a:r>
            </a:p>
          </xdr:txBody>
        </xdr:sp>
      </mc:Fallback>
    </mc:AlternateContent>
    <xdr:clientData/>
  </xdr:twoCellAnchor>
  <xdr:twoCellAnchor editAs="oneCell">
    <xdr:from>
      <xdr:col>19</xdr:col>
      <xdr:colOff>0</xdr:colOff>
      <xdr:row>11</xdr:row>
      <xdr:rowOff>9525</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67D94A2E-9C5B-43D2-9B5B-9192EEEEFA3C}"/>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66875"/>
              <a:ext cx="1828800" cy="9429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19050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4ABBEA0F-B49E-4B60-9053-65163222B49F}"/>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4295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xdr:colOff>
      <xdr:row>11</xdr:row>
      <xdr:rowOff>9526</xdr:rowOff>
    </xdr:from>
    <xdr:to>
      <xdr:col>26</xdr:col>
      <xdr:colOff>1</xdr:colOff>
      <xdr:row>16</xdr:row>
      <xdr:rowOff>0</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E8EAAEC0-2F96-4794-8FC2-52D843560696}"/>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1" y="1666876"/>
              <a:ext cx="1828800" cy="94297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17</xdr:row>
      <xdr:rowOff>0</xdr:rowOff>
    </xdr:from>
    <xdr:to>
      <xdr:col>15</xdr:col>
      <xdr:colOff>0</xdr:colOff>
      <xdr:row>39</xdr:row>
      <xdr:rowOff>0</xdr:rowOff>
    </xdr:to>
    <xdr:graphicFrame macro="">
      <xdr:nvGraphicFramePr>
        <xdr:cNvPr id="9" name="Chart 8">
          <a:extLst>
            <a:ext uri="{FF2B5EF4-FFF2-40B4-BE49-F238E27FC236}">
              <a16:creationId xmlns:a16="http://schemas.microsoft.com/office/drawing/2014/main" id="{D18DD91C-866F-46F7-AE12-8F39F97957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xdr:colOff>
      <xdr:row>17</xdr:row>
      <xdr:rowOff>0</xdr:rowOff>
    </xdr:from>
    <xdr:to>
      <xdr:col>26</xdr:col>
      <xdr:colOff>1</xdr:colOff>
      <xdr:row>28</xdr:row>
      <xdr:rowOff>0</xdr:rowOff>
    </xdr:to>
    <xdr:graphicFrame macro="">
      <xdr:nvGraphicFramePr>
        <xdr:cNvPr id="10" name="Chart 9">
          <a:extLst>
            <a:ext uri="{FF2B5EF4-FFF2-40B4-BE49-F238E27FC236}">
              <a16:creationId xmlns:a16="http://schemas.microsoft.com/office/drawing/2014/main" id="{04964E20-E24B-442D-AE03-5E5AB3071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104774</xdr:colOff>
      <xdr:row>29</xdr:row>
      <xdr:rowOff>0</xdr:rowOff>
    </xdr:from>
    <xdr:to>
      <xdr:col>26</xdr:col>
      <xdr:colOff>0</xdr:colOff>
      <xdr:row>39</xdr:row>
      <xdr:rowOff>0</xdr:rowOff>
    </xdr:to>
    <xdr:graphicFrame macro="">
      <xdr:nvGraphicFramePr>
        <xdr:cNvPr id="11" name="Chart 10">
          <a:extLst>
            <a:ext uri="{FF2B5EF4-FFF2-40B4-BE49-F238E27FC236}">
              <a16:creationId xmlns:a16="http://schemas.microsoft.com/office/drawing/2014/main" id="{97DF79C2-75CD-4C3C-B220-41A571D8DF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m PC" refreshedDate="45775.86732060185" createdVersion="8" refreshedVersion="8" minRefreshableVersion="3" recordCount="1000" xr:uid="{831567BC-CECD-4047-BC66-89CA7BFF6474}">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9445242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A7F2B8-9E04-49D6-B8D2-64C564F0B0AA}"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9">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 format="4">
      <pivotArea type="data" outline="0" fieldPosition="0">
        <references count="4">
          <reference field="4294967294" count="1" selected="0">
            <x v="0"/>
          </reference>
          <reference field="13" count="1" selected="0">
            <x v="0"/>
          </reference>
          <reference field="16" count="1" selected="0">
            <x v="9"/>
          </reference>
          <reference field="17" count="1" selected="0">
            <x v="3"/>
          </reference>
        </references>
      </pivotArea>
    </chartFormat>
    <chartFormat chart="6" format="9" series="1">
      <pivotArea type="data" outline="0" fieldPosition="0">
        <references count="2">
          <reference field="4294967294" count="1" selected="0">
            <x v="0"/>
          </reference>
          <reference field="13" count="1" selected="0">
            <x v="0"/>
          </reference>
        </references>
      </pivotArea>
    </chartFormat>
    <chartFormat chart="6" format="10" series="1">
      <pivotArea type="data" outline="0" fieldPosition="0">
        <references count="2">
          <reference field="4294967294" count="1" selected="0">
            <x v="0"/>
          </reference>
          <reference field="13" count="1" selected="0">
            <x v="1"/>
          </reference>
        </references>
      </pivotArea>
    </chartFormat>
    <chartFormat chart="6" format="11" series="1">
      <pivotArea type="data" outline="0" fieldPosition="0">
        <references count="2">
          <reference field="4294967294" count="1" selected="0">
            <x v="0"/>
          </reference>
          <reference field="13" count="1" selected="0">
            <x v="2"/>
          </reference>
        </references>
      </pivotArea>
    </chartFormat>
    <chartFormat chart="6"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3F3C2B-1861-4829-8752-F69A635F2671}"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9"/>
  </dataFields>
  <chartFormats count="8">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7" count="1" selected="0">
            <x v="2"/>
          </reference>
        </references>
      </pivotArea>
    </chartFormat>
    <chartFormat chart="9" format="2">
      <pivotArea type="data" outline="0" fieldPosition="0">
        <references count="2">
          <reference field="4294967294" count="1" selected="0">
            <x v="0"/>
          </reference>
          <reference field="7" count="1" selected="0">
            <x v="0"/>
          </reference>
        </references>
      </pivotArea>
    </chartFormat>
    <chartFormat chart="9" format="3">
      <pivotArea type="data" outline="0" fieldPosition="0">
        <references count="2">
          <reference field="4294967294" count="1" selected="0">
            <x v="0"/>
          </reference>
          <reference field="7"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7" count="1" selected="0">
            <x v="1"/>
          </reference>
        </references>
      </pivotArea>
    </chartFormat>
    <chartFormat chart="13" format="10">
      <pivotArea type="data" outline="0" fieldPosition="0">
        <references count="2">
          <reference field="4294967294" count="1" selected="0">
            <x v="0"/>
          </reference>
          <reference field="7" count="1" selected="0">
            <x v="0"/>
          </reference>
        </references>
      </pivotArea>
    </chartFormat>
    <chartFormat chart="13"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68AE04-7F0D-40E2-A9AE-49C4B1CA99F8}"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9"/>
  </dataFields>
  <chartFormats count="7">
    <chartFormat chart="4" format="1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81DB4715-DAB6-4F05-8C7C-B7693E861F0C}" sourceName="Size">
  <pivotTables>
    <pivotTable tabId="18" name="TotalSales"/>
    <pivotTable tabId="19" name="TotalSales"/>
    <pivotTable tabId="20" name="TotalSales"/>
  </pivotTables>
  <data>
    <tabular pivotCacheId="194452420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29FD0E1B-5F8C-4A7F-A7E7-CA151D1A1DD7}" sourceName="Roast Type Name">
  <pivotTables>
    <pivotTable tabId="18" name="TotalSales"/>
    <pivotTable tabId="19" name="TotalSales"/>
    <pivotTable tabId="20" name="TotalSales"/>
  </pivotTables>
  <data>
    <tabular pivotCacheId="194452420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4628274E-0FAA-44FD-9F4D-ABBDB669A84F}" sourceName="Loyalty Card">
  <pivotTables>
    <pivotTable tabId="18" name="TotalSales"/>
    <pivotTable tabId="19" name="TotalSales"/>
    <pivotTable tabId="20" name="TotalSales"/>
  </pivotTables>
  <data>
    <tabular pivotCacheId="194452420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25945DF2-CABD-41B8-B742-3B0B305311AD}" cache="Slicer_Size" caption="Size" columnCount="2" style="Purple Slicer" rowHeight="241300"/>
  <slicer name="Roast Type Name" xr10:uid="{DE6BEB00-F414-4FF0-9A90-3F746340A472}" cache="Slicer_Roast_Type_Name" caption="Roast Type Name" columnCount="3" style="Purple Slicer" rowHeight="241300"/>
  <slicer name="Loyalty Card" xr10:uid="{A325F0E3-70C7-4787-BC95-20A2D0EE1CBD}" cache="Slicer_Loyalty_Card" caption="Loyalty Card"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C766D4-DFC5-4782-9F7A-83E5CD50F905}" name="Orders" displayName="Orders" ref="A1:P1001" totalsRowShown="0" headerRowDxfId="11">
  <autoFilter ref="A1:P1001" xr:uid="{60C766D4-DFC5-4782-9F7A-83E5CD50F905}"/>
  <tableColumns count="16">
    <tableColumn id="1" xr3:uid="{5757850C-F147-4F80-9BAB-B123BA978D0D}" name="Order ID" dataDxfId="10"/>
    <tableColumn id="2" xr3:uid="{2845FED9-1E99-46B8-AC94-8D821B8DD530}" name="Order Date" dataDxfId="9"/>
    <tableColumn id="3" xr3:uid="{7CF5E34B-4B2A-47DC-B0B8-65A1414A47EA}" name="Customer ID" dataDxfId="8"/>
    <tableColumn id="4" xr3:uid="{8C3AFF75-DD97-439F-AA3F-9CA23AE1A933}" name="Product ID"/>
    <tableColumn id="5" xr3:uid="{5D02C7BD-89CB-44CF-A6A7-F9CBCB1D7F05}" name="Quantity" dataDxfId="7"/>
    <tableColumn id="6" xr3:uid="{1193D8EC-DAF3-4951-9D93-87D57FF3E9CB}" name="Customer Name" dataDxfId="6">
      <calculatedColumnFormula>_xlfn.XLOOKUP(C2,customers!$A$1:$A$1001,customers!$B$1:$B$1001,,0)</calculatedColumnFormula>
    </tableColumn>
    <tableColumn id="7" xr3:uid="{99173D22-1F75-425A-848D-32EF89884475}" name="Email" dataDxfId="5">
      <calculatedColumnFormula>IF(_xlfn.XLOOKUP(C2,customers!$A$1:$A$1001,customers!$C$1:$C$1001,,0)=0,"",_xlfn.XLOOKUP(C2,customers!$A$1:$A$1001,customers!$C$1:$C$1001,,0))</calculatedColumnFormula>
    </tableColumn>
    <tableColumn id="8" xr3:uid="{2D8A6361-030F-4E0D-96E7-9849852ADF74}" name="Country" dataDxfId="4">
      <calculatedColumnFormula>_xlfn.XLOOKUP(C2,customers!$A$1:$A$1001,customers!$G$1:$G$1001,,0)</calculatedColumnFormula>
    </tableColumn>
    <tableColumn id="9" xr3:uid="{F3E6A896-F89E-4DC7-BEB6-828933A3A6BC}" name="Coffee Type">
      <calculatedColumnFormula>INDEX(products!$A$1:$G$49,MATCH(orders!$D2,products!$A$1:$A$49,0),MATCH(orders!I$1,products!$A$1:$G$1,0))</calculatedColumnFormula>
    </tableColumn>
    <tableColumn id="10" xr3:uid="{3B1895A7-F302-403A-A2EB-0792B4A37F5A}" name="Roast Type">
      <calculatedColumnFormula>INDEX(products!$A$1:$G$49,MATCH(orders!$D2,products!$A$1:$A$49,0),MATCH(orders!J$1,products!$A$1:$G$1,0))</calculatedColumnFormula>
    </tableColumn>
    <tableColumn id="11" xr3:uid="{80D6D0BC-C063-454A-AD20-1A0FFBF31ADF}" name="Size" dataDxfId="3">
      <calculatedColumnFormula>INDEX(products!$A$1:$G$49,MATCH(orders!$D2,products!$A$1:$A$49,0),MATCH(orders!K$1,products!$A$1:$G$1,0))</calculatedColumnFormula>
    </tableColumn>
    <tableColumn id="12" xr3:uid="{15C4E5FB-0408-463F-AF17-2ABFFE59AFBC}" name="Unit Price" dataDxfId="2">
      <calculatedColumnFormula>INDEX(products!$A$1:$G$49,MATCH(orders!$D2,products!$A$1:$A$49,0),MATCH(orders!L$1,products!$A$1:$G$1,0))</calculatedColumnFormula>
    </tableColumn>
    <tableColumn id="13" xr3:uid="{0C1BC06F-B9BE-44AA-9EAE-3528FCFAD93E}" name="Sales" dataDxfId="1">
      <calculatedColumnFormula>L2*E2</calculatedColumnFormula>
    </tableColumn>
    <tableColumn id="14" xr3:uid="{89AF1BA6-8EF5-45BC-8104-5214702E387B}" name="Coffee Type Name">
      <calculatedColumnFormula>IF(I2="Rob","Robusta",IF(I2="Exc","Excelsa",IF(I2="Ara","Arabica",IF(I2="Lib","Liberica",""))))</calculatedColumnFormula>
    </tableColumn>
    <tableColumn id="15" xr3:uid="{F9B408AE-4B6A-45D3-90ED-98FB57A9BE4D}" name="Roast Type Name">
      <calculatedColumnFormula>IF(J2="M","Medium",IF(J2="L","Light",IF(J2="D","Dark","")))</calculatedColumnFormula>
    </tableColumn>
    <tableColumn id="16" xr3:uid="{692326AE-E596-4673-AA89-74658D5AD719}"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15CB8AF-BC80-4172-ACD6-36ABF868CE09}" sourceName="Order Date">
  <pivotTables>
    <pivotTable tabId="18" name="TotalSales"/>
    <pivotTable tabId="19" name="TotalSales"/>
    <pivotTable tabId="20" name="TotalSales"/>
  </pivotTables>
  <state minimalRefreshVersion="6" lastRefreshVersion="6" pivotCacheId="194452420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5F96F6D-018D-4ADD-B165-45CE1CB68E39}" cache="NativeTimeline_Order_Date" caption="Order Date" level="2" selectionLevel="2" scrollPosition="2021-04-29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8ABB1-7BC4-4F1C-A180-8E9E49DABDAE}">
  <dimension ref="A3:F48"/>
  <sheetViews>
    <sheetView workbookViewId="0">
      <selection activeCell="B20" sqref="B20"/>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6" t="s">
        <v>6220</v>
      </c>
      <c r="C3" s="6" t="s">
        <v>6196</v>
      </c>
    </row>
    <row r="4" spans="1:6" x14ac:dyDescent="0.25">
      <c r="A4" s="6" t="s">
        <v>6214</v>
      </c>
      <c r="B4" s="6" t="s">
        <v>6215</v>
      </c>
      <c r="C4" t="s">
        <v>6216</v>
      </c>
      <c r="D4" t="s">
        <v>6217</v>
      </c>
      <c r="E4" t="s">
        <v>6218</v>
      </c>
      <c r="F4" t="s">
        <v>6219</v>
      </c>
    </row>
    <row r="5" spans="1:6" x14ac:dyDescent="0.25">
      <c r="A5" t="s">
        <v>6198</v>
      </c>
      <c r="B5" t="s">
        <v>6202</v>
      </c>
      <c r="C5" s="7">
        <v>186.85499999999999</v>
      </c>
      <c r="D5" s="7">
        <v>305.97000000000003</v>
      </c>
      <c r="E5" s="7">
        <v>213.15999999999997</v>
      </c>
      <c r="F5" s="7">
        <v>123</v>
      </c>
    </row>
    <row r="6" spans="1:6" x14ac:dyDescent="0.25">
      <c r="B6" t="s">
        <v>6203</v>
      </c>
      <c r="C6" s="7">
        <v>251.96499999999997</v>
      </c>
      <c r="D6" s="7">
        <v>129.46</v>
      </c>
      <c r="E6" s="7">
        <v>434.03999999999996</v>
      </c>
      <c r="F6" s="7">
        <v>171.93999999999997</v>
      </c>
    </row>
    <row r="7" spans="1:6" x14ac:dyDescent="0.25">
      <c r="B7" t="s">
        <v>6204</v>
      </c>
      <c r="C7" s="7">
        <v>224.94499999999999</v>
      </c>
      <c r="D7" s="7">
        <v>349.12</v>
      </c>
      <c r="E7" s="7">
        <v>321.04000000000002</v>
      </c>
      <c r="F7" s="7">
        <v>126.035</v>
      </c>
    </row>
    <row r="8" spans="1:6" x14ac:dyDescent="0.25">
      <c r="B8" t="s">
        <v>6205</v>
      </c>
      <c r="C8" s="7">
        <v>307.12</v>
      </c>
      <c r="D8" s="7">
        <v>681.07499999999993</v>
      </c>
      <c r="E8" s="7">
        <v>533.70499999999993</v>
      </c>
      <c r="F8" s="7">
        <v>158.85</v>
      </c>
    </row>
    <row r="9" spans="1:6" x14ac:dyDescent="0.25">
      <c r="B9" t="s">
        <v>6206</v>
      </c>
      <c r="C9" s="7">
        <v>53.664999999999992</v>
      </c>
      <c r="D9" s="7">
        <v>83.025000000000006</v>
      </c>
      <c r="E9" s="7">
        <v>193.83499999999998</v>
      </c>
      <c r="F9" s="7">
        <v>68.039999999999992</v>
      </c>
    </row>
    <row r="10" spans="1:6" x14ac:dyDescent="0.25">
      <c r="B10" t="s">
        <v>6207</v>
      </c>
      <c r="C10" s="7">
        <v>163.01999999999998</v>
      </c>
      <c r="D10" s="7">
        <v>678.3599999999999</v>
      </c>
      <c r="E10" s="7">
        <v>171.04500000000002</v>
      </c>
      <c r="F10" s="7">
        <v>372.255</v>
      </c>
    </row>
    <row r="11" spans="1:6" x14ac:dyDescent="0.25">
      <c r="B11" t="s">
        <v>6208</v>
      </c>
      <c r="C11" s="7">
        <v>345.02</v>
      </c>
      <c r="D11" s="7">
        <v>273.86999999999995</v>
      </c>
      <c r="E11" s="7">
        <v>184.12999999999997</v>
      </c>
      <c r="F11" s="7">
        <v>201.11499999999998</v>
      </c>
    </row>
    <row r="12" spans="1:6" x14ac:dyDescent="0.25">
      <c r="B12" t="s">
        <v>6209</v>
      </c>
      <c r="C12" s="7">
        <v>334.89</v>
      </c>
      <c r="D12" s="7">
        <v>70.95</v>
      </c>
      <c r="E12" s="7">
        <v>134.23000000000002</v>
      </c>
      <c r="F12" s="7">
        <v>166.27499999999998</v>
      </c>
    </row>
    <row r="13" spans="1:6" x14ac:dyDescent="0.25">
      <c r="B13" t="s">
        <v>6210</v>
      </c>
      <c r="C13" s="7">
        <v>178.70999999999998</v>
      </c>
      <c r="D13" s="7">
        <v>166.1</v>
      </c>
      <c r="E13" s="7">
        <v>439.30999999999995</v>
      </c>
      <c r="F13" s="7">
        <v>492.9</v>
      </c>
    </row>
    <row r="14" spans="1:6" x14ac:dyDescent="0.25">
      <c r="B14" t="s">
        <v>6211</v>
      </c>
      <c r="C14" s="7">
        <v>301.98500000000001</v>
      </c>
      <c r="D14" s="7">
        <v>153.76499999999999</v>
      </c>
      <c r="E14" s="7">
        <v>215.55499999999998</v>
      </c>
      <c r="F14" s="7">
        <v>213.66499999999999</v>
      </c>
    </row>
    <row r="15" spans="1:6" x14ac:dyDescent="0.25">
      <c r="B15" t="s">
        <v>6212</v>
      </c>
      <c r="C15" s="7">
        <v>312.83499999999998</v>
      </c>
      <c r="D15" s="7">
        <v>63.249999999999993</v>
      </c>
      <c r="E15" s="7">
        <v>350.89500000000004</v>
      </c>
      <c r="F15" s="7">
        <v>96.405000000000001</v>
      </c>
    </row>
    <row r="16" spans="1:6" x14ac:dyDescent="0.25">
      <c r="B16" t="s">
        <v>6213</v>
      </c>
      <c r="C16" s="7">
        <v>265.62</v>
      </c>
      <c r="D16" s="7">
        <v>526.51499999999987</v>
      </c>
      <c r="E16" s="7">
        <v>187.06</v>
      </c>
      <c r="F16" s="7">
        <v>210.58999999999997</v>
      </c>
    </row>
    <row r="17" spans="1:6" x14ac:dyDescent="0.25">
      <c r="A17" t="s">
        <v>6199</v>
      </c>
      <c r="B17" t="s">
        <v>6202</v>
      </c>
      <c r="C17" s="7">
        <v>47.25</v>
      </c>
      <c r="D17" s="7">
        <v>65.805000000000007</v>
      </c>
      <c r="E17" s="7">
        <v>274.67500000000001</v>
      </c>
      <c r="F17" s="7">
        <v>179.22</v>
      </c>
    </row>
    <row r="18" spans="1:6" x14ac:dyDescent="0.25">
      <c r="B18" t="s">
        <v>6203</v>
      </c>
      <c r="C18" s="7">
        <v>745.44999999999993</v>
      </c>
      <c r="D18" s="7">
        <v>428.88499999999999</v>
      </c>
      <c r="E18" s="7">
        <v>194.17499999999998</v>
      </c>
      <c r="F18" s="7">
        <v>429.82999999999993</v>
      </c>
    </row>
    <row r="19" spans="1:6" x14ac:dyDescent="0.25">
      <c r="B19" t="s">
        <v>6204</v>
      </c>
      <c r="C19" s="7">
        <v>130.47</v>
      </c>
      <c r="D19" s="7">
        <v>271.48500000000001</v>
      </c>
      <c r="E19" s="7">
        <v>281.20499999999998</v>
      </c>
      <c r="F19" s="7">
        <v>231.63000000000002</v>
      </c>
    </row>
    <row r="20" spans="1:6" x14ac:dyDescent="0.25">
      <c r="B20" t="s">
        <v>6205</v>
      </c>
      <c r="C20" s="7">
        <v>27</v>
      </c>
      <c r="D20" s="7">
        <v>347.26</v>
      </c>
      <c r="E20" s="7">
        <v>147.51</v>
      </c>
      <c r="F20" s="7">
        <v>240.04</v>
      </c>
    </row>
    <row r="21" spans="1:6" x14ac:dyDescent="0.25">
      <c r="B21" t="s">
        <v>6206</v>
      </c>
      <c r="C21" s="7">
        <v>255.11499999999995</v>
      </c>
      <c r="D21" s="7">
        <v>541.73</v>
      </c>
      <c r="E21" s="7">
        <v>83.43</v>
      </c>
      <c r="F21" s="7">
        <v>59.079999999999991</v>
      </c>
    </row>
    <row r="22" spans="1:6" x14ac:dyDescent="0.25">
      <c r="B22" t="s">
        <v>6207</v>
      </c>
      <c r="C22" s="7">
        <v>584.78999999999985</v>
      </c>
      <c r="D22" s="7">
        <v>357.42999999999995</v>
      </c>
      <c r="E22" s="7">
        <v>355.34</v>
      </c>
      <c r="F22" s="7">
        <v>140.88</v>
      </c>
    </row>
    <row r="23" spans="1:6" x14ac:dyDescent="0.25">
      <c r="B23" t="s">
        <v>6208</v>
      </c>
      <c r="C23" s="7">
        <v>430.62</v>
      </c>
      <c r="D23" s="7">
        <v>227.42500000000001</v>
      </c>
      <c r="E23" s="7">
        <v>236.315</v>
      </c>
      <c r="F23" s="7">
        <v>414.58499999999992</v>
      </c>
    </row>
    <row r="24" spans="1:6" x14ac:dyDescent="0.25">
      <c r="B24" t="s">
        <v>6209</v>
      </c>
      <c r="C24" s="7">
        <v>22.5</v>
      </c>
      <c r="D24" s="7">
        <v>77.72</v>
      </c>
      <c r="E24" s="7">
        <v>60.5</v>
      </c>
      <c r="F24" s="7">
        <v>139.67999999999998</v>
      </c>
    </row>
    <row r="25" spans="1:6" x14ac:dyDescent="0.25">
      <c r="B25" t="s">
        <v>6210</v>
      </c>
      <c r="C25" s="7">
        <v>126.14999999999999</v>
      </c>
      <c r="D25" s="7">
        <v>195.11</v>
      </c>
      <c r="E25" s="7">
        <v>89.13</v>
      </c>
      <c r="F25" s="7">
        <v>302.65999999999997</v>
      </c>
    </row>
    <row r="26" spans="1:6" x14ac:dyDescent="0.25">
      <c r="B26" t="s">
        <v>6211</v>
      </c>
      <c r="C26" s="7">
        <v>376.03</v>
      </c>
      <c r="D26" s="7">
        <v>523.24</v>
      </c>
      <c r="E26" s="7">
        <v>440.96499999999997</v>
      </c>
      <c r="F26" s="7">
        <v>174.46999999999997</v>
      </c>
    </row>
    <row r="27" spans="1:6" x14ac:dyDescent="0.25">
      <c r="B27" t="s">
        <v>6212</v>
      </c>
      <c r="C27" s="7">
        <v>515.17999999999995</v>
      </c>
      <c r="D27" s="7">
        <v>142.56</v>
      </c>
      <c r="E27" s="7">
        <v>347.03999999999996</v>
      </c>
      <c r="F27" s="7">
        <v>104.08499999999999</v>
      </c>
    </row>
    <row r="28" spans="1:6" x14ac:dyDescent="0.25">
      <c r="B28" t="s">
        <v>6213</v>
      </c>
      <c r="C28" s="7">
        <v>95.859999999999985</v>
      </c>
      <c r="D28" s="7">
        <v>484.76</v>
      </c>
      <c r="E28" s="7">
        <v>94.17</v>
      </c>
      <c r="F28" s="7">
        <v>77.10499999999999</v>
      </c>
    </row>
    <row r="29" spans="1:6" x14ac:dyDescent="0.25">
      <c r="A29" t="s">
        <v>6200</v>
      </c>
      <c r="B29" t="s">
        <v>6202</v>
      </c>
      <c r="C29" s="7">
        <v>258.34500000000003</v>
      </c>
      <c r="D29" s="7">
        <v>139.625</v>
      </c>
      <c r="E29" s="7">
        <v>279.52000000000004</v>
      </c>
      <c r="F29" s="7">
        <v>160.19499999999999</v>
      </c>
    </row>
    <row r="30" spans="1:6" x14ac:dyDescent="0.25">
      <c r="B30" t="s">
        <v>6203</v>
      </c>
      <c r="C30" s="7">
        <v>342.2</v>
      </c>
      <c r="D30" s="7">
        <v>284.24999999999994</v>
      </c>
      <c r="E30" s="7">
        <v>251.83</v>
      </c>
      <c r="F30" s="7">
        <v>80.550000000000011</v>
      </c>
    </row>
    <row r="31" spans="1:6" x14ac:dyDescent="0.25">
      <c r="B31" t="s">
        <v>6204</v>
      </c>
      <c r="C31" s="7">
        <v>418.30499999999989</v>
      </c>
      <c r="D31" s="7">
        <v>468.125</v>
      </c>
      <c r="E31" s="7">
        <v>405.05500000000006</v>
      </c>
      <c r="F31" s="7">
        <v>253.15499999999997</v>
      </c>
    </row>
    <row r="32" spans="1:6" x14ac:dyDescent="0.25">
      <c r="B32" t="s">
        <v>6205</v>
      </c>
      <c r="C32" s="7">
        <v>102.32999999999998</v>
      </c>
      <c r="D32" s="7">
        <v>242.14000000000001</v>
      </c>
      <c r="E32" s="7">
        <v>554.875</v>
      </c>
      <c r="F32" s="7">
        <v>106.23999999999998</v>
      </c>
    </row>
    <row r="33" spans="1:6" x14ac:dyDescent="0.25">
      <c r="B33" t="s">
        <v>6206</v>
      </c>
      <c r="C33" s="7">
        <v>234.71999999999997</v>
      </c>
      <c r="D33" s="7">
        <v>133.08000000000001</v>
      </c>
      <c r="E33" s="7">
        <v>267.2</v>
      </c>
      <c r="F33" s="7">
        <v>272.68999999999994</v>
      </c>
    </row>
    <row r="34" spans="1:6" x14ac:dyDescent="0.25">
      <c r="B34" t="s">
        <v>6207</v>
      </c>
      <c r="C34" s="7">
        <v>430.39</v>
      </c>
      <c r="D34" s="7">
        <v>136.20500000000001</v>
      </c>
      <c r="E34" s="7">
        <v>209.6</v>
      </c>
      <c r="F34" s="7">
        <v>88.334999999999994</v>
      </c>
    </row>
    <row r="35" spans="1:6" x14ac:dyDescent="0.25">
      <c r="B35" t="s">
        <v>6208</v>
      </c>
      <c r="C35" s="7">
        <v>109.005</v>
      </c>
      <c r="D35" s="7">
        <v>393.57499999999999</v>
      </c>
      <c r="E35" s="7">
        <v>61.034999999999997</v>
      </c>
      <c r="F35" s="7">
        <v>199.48999999999998</v>
      </c>
    </row>
    <row r="36" spans="1:6" x14ac:dyDescent="0.25">
      <c r="B36" t="s">
        <v>6209</v>
      </c>
      <c r="C36" s="7">
        <v>287.52499999999998</v>
      </c>
      <c r="D36" s="7">
        <v>288.67</v>
      </c>
      <c r="E36" s="7">
        <v>125.58</v>
      </c>
      <c r="F36" s="7">
        <v>374.13499999999999</v>
      </c>
    </row>
    <row r="37" spans="1:6" x14ac:dyDescent="0.25">
      <c r="B37" t="s">
        <v>6210</v>
      </c>
      <c r="C37" s="7">
        <v>840.92999999999984</v>
      </c>
      <c r="D37" s="7">
        <v>409.875</v>
      </c>
      <c r="E37" s="7">
        <v>171.32999999999998</v>
      </c>
      <c r="F37" s="7">
        <v>221.43999999999997</v>
      </c>
    </row>
    <row r="38" spans="1:6" x14ac:dyDescent="0.25">
      <c r="B38" t="s">
        <v>6211</v>
      </c>
      <c r="C38" s="7">
        <v>299.07</v>
      </c>
      <c r="D38" s="7">
        <v>260.32499999999999</v>
      </c>
      <c r="E38" s="7">
        <v>584.64</v>
      </c>
      <c r="F38" s="7">
        <v>256.36500000000001</v>
      </c>
    </row>
    <row r="39" spans="1:6" x14ac:dyDescent="0.25">
      <c r="B39" t="s">
        <v>6212</v>
      </c>
      <c r="C39" s="7">
        <v>323.32499999999999</v>
      </c>
      <c r="D39" s="7">
        <v>565.57000000000005</v>
      </c>
      <c r="E39" s="7">
        <v>537.80999999999995</v>
      </c>
      <c r="F39" s="7">
        <v>189.47499999999999</v>
      </c>
    </row>
    <row r="40" spans="1:6" x14ac:dyDescent="0.25">
      <c r="B40" t="s">
        <v>6213</v>
      </c>
      <c r="C40" s="7">
        <v>399.48499999999996</v>
      </c>
      <c r="D40" s="7">
        <v>148.19999999999999</v>
      </c>
      <c r="E40" s="7">
        <v>388.21999999999997</v>
      </c>
      <c r="F40" s="7">
        <v>212.07499999999999</v>
      </c>
    </row>
    <row r="41" spans="1:6" x14ac:dyDescent="0.25">
      <c r="A41" t="s">
        <v>6201</v>
      </c>
      <c r="B41" t="s">
        <v>6202</v>
      </c>
      <c r="C41" s="7">
        <v>112.69499999999999</v>
      </c>
      <c r="D41" s="7">
        <v>166.32</v>
      </c>
      <c r="E41" s="7">
        <v>843.71499999999992</v>
      </c>
      <c r="F41" s="7">
        <v>146.685</v>
      </c>
    </row>
    <row r="42" spans="1:6" x14ac:dyDescent="0.25">
      <c r="B42" t="s">
        <v>6203</v>
      </c>
      <c r="C42" s="7">
        <v>114.87999999999998</v>
      </c>
      <c r="D42" s="7">
        <v>133.815</v>
      </c>
      <c r="E42" s="7">
        <v>91.175000000000011</v>
      </c>
      <c r="F42" s="7">
        <v>53.759999999999991</v>
      </c>
    </row>
    <row r="43" spans="1:6" x14ac:dyDescent="0.25">
      <c r="B43" t="s">
        <v>6204</v>
      </c>
      <c r="C43" s="7">
        <v>277.76</v>
      </c>
      <c r="D43" s="7">
        <v>175.41</v>
      </c>
      <c r="E43" s="7">
        <v>462.50999999999993</v>
      </c>
      <c r="F43" s="7">
        <v>399.52499999999998</v>
      </c>
    </row>
    <row r="44" spans="1:6" x14ac:dyDescent="0.25">
      <c r="B44" t="s">
        <v>6205</v>
      </c>
      <c r="C44" s="7">
        <v>197.89499999999998</v>
      </c>
      <c r="D44" s="7">
        <v>289.755</v>
      </c>
      <c r="E44" s="7">
        <v>88.545000000000002</v>
      </c>
      <c r="F44" s="7">
        <v>200.25499999999997</v>
      </c>
    </row>
    <row r="45" spans="1:6" x14ac:dyDescent="0.25">
      <c r="B45" t="s">
        <v>6206</v>
      </c>
      <c r="C45" s="7">
        <v>193.11499999999998</v>
      </c>
      <c r="D45" s="7">
        <v>212.49499999999998</v>
      </c>
      <c r="E45" s="7">
        <v>292.29000000000002</v>
      </c>
      <c r="F45" s="7">
        <v>304.46999999999997</v>
      </c>
    </row>
    <row r="46" spans="1:6" x14ac:dyDescent="0.25">
      <c r="B46" t="s">
        <v>6207</v>
      </c>
      <c r="C46" s="7">
        <v>179.79</v>
      </c>
      <c r="D46" s="7">
        <v>426.2</v>
      </c>
      <c r="E46" s="7">
        <v>170.08999999999997</v>
      </c>
      <c r="F46" s="7">
        <v>379.31</v>
      </c>
    </row>
    <row r="47" spans="1:6" x14ac:dyDescent="0.25">
      <c r="B47" t="s">
        <v>6208</v>
      </c>
      <c r="C47" s="7">
        <v>247.28999999999996</v>
      </c>
      <c r="D47" s="7">
        <v>246.685</v>
      </c>
      <c r="E47" s="7">
        <v>271.05499999999995</v>
      </c>
      <c r="F47" s="7">
        <v>141.69999999999999</v>
      </c>
    </row>
    <row r="48" spans="1:6" x14ac:dyDescent="0.25">
      <c r="B48" t="s">
        <v>6209</v>
      </c>
      <c r="C48" s="7">
        <v>116.39499999999998</v>
      </c>
      <c r="D48" s="7">
        <v>41.25</v>
      </c>
      <c r="E48" s="7">
        <v>15.54</v>
      </c>
      <c r="F48" s="7">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F07B7-EE58-4006-8177-CDBF58787FA1}">
  <dimension ref="A3:B6"/>
  <sheetViews>
    <sheetView workbookViewId="0">
      <selection activeCell="O28" sqref="O28"/>
    </sheetView>
  </sheetViews>
  <sheetFormatPr defaultRowHeight="15" x14ac:dyDescent="0.25"/>
  <cols>
    <col min="1" max="1" width="15.42578125" bestFit="1" customWidth="1"/>
    <col min="2" max="2" width="12.140625" bestFit="1" customWidth="1"/>
    <col min="3" max="3" width="7.85546875" bestFit="1" customWidth="1"/>
    <col min="4" max="6" width="8.140625" bestFit="1" customWidth="1"/>
  </cols>
  <sheetData>
    <row r="3" spans="1:2" x14ac:dyDescent="0.25">
      <c r="A3" s="6" t="s">
        <v>7</v>
      </c>
      <c r="B3" t="s">
        <v>6220</v>
      </c>
    </row>
    <row r="4" spans="1:2" x14ac:dyDescent="0.25">
      <c r="A4" t="s">
        <v>28</v>
      </c>
      <c r="B4" s="8">
        <v>2798.5050000000001</v>
      </c>
    </row>
    <row r="5" spans="1:2" x14ac:dyDescent="0.25">
      <c r="A5" t="s">
        <v>318</v>
      </c>
      <c r="B5" s="8">
        <v>6696.8649999999989</v>
      </c>
    </row>
    <row r="6" spans="1:2" x14ac:dyDescent="0.25">
      <c r="A6" t="s">
        <v>19</v>
      </c>
      <c r="B6" s="8">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F4641-F6D0-4B34-8F2F-E9FFEBD11B62}">
  <dimension ref="A3:B8"/>
  <sheetViews>
    <sheetView workbookViewId="0">
      <selection activeCell="S16" sqref="R16:S16"/>
    </sheetView>
  </sheetViews>
  <sheetFormatPr defaultRowHeight="15" x14ac:dyDescent="0.25"/>
  <cols>
    <col min="1" max="1" width="17.7109375" bestFit="1" customWidth="1"/>
    <col min="2" max="3" width="12.140625" bestFit="1" customWidth="1"/>
    <col min="4" max="6" width="8.140625" bestFit="1" customWidth="1"/>
  </cols>
  <sheetData>
    <row r="3" spans="1:2" x14ac:dyDescent="0.25">
      <c r="A3" s="6" t="s">
        <v>4</v>
      </c>
      <c r="B3" t="s">
        <v>6220</v>
      </c>
    </row>
    <row r="4" spans="1:2" x14ac:dyDescent="0.25">
      <c r="A4" t="s">
        <v>3753</v>
      </c>
      <c r="B4" s="8">
        <v>278.01</v>
      </c>
    </row>
    <row r="5" spans="1:2" x14ac:dyDescent="0.25">
      <c r="A5" t="s">
        <v>1598</v>
      </c>
      <c r="B5" s="8">
        <v>281.67499999999995</v>
      </c>
    </row>
    <row r="6" spans="1:2" x14ac:dyDescent="0.25">
      <c r="A6" t="s">
        <v>2587</v>
      </c>
      <c r="B6" s="8">
        <v>289.11</v>
      </c>
    </row>
    <row r="7" spans="1:2" x14ac:dyDescent="0.25">
      <c r="A7" t="s">
        <v>5765</v>
      </c>
      <c r="B7" s="8">
        <v>307.04499999999996</v>
      </c>
    </row>
    <row r="8" spans="1:2" x14ac:dyDescent="0.25">
      <c r="A8" t="s">
        <v>5114</v>
      </c>
      <c r="B8" s="8">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C7E94-2639-47D2-9107-029811EBFF3C}">
  <dimension ref="A1:A29"/>
  <sheetViews>
    <sheetView showGridLines="0" showRowColHeaders="0" tabSelected="1" workbookViewId="0">
      <selection activeCell="AD19" sqref="AD19"/>
    </sheetView>
  </sheetViews>
  <sheetFormatPr defaultRowHeight="15" x14ac:dyDescent="0.25"/>
  <cols>
    <col min="1" max="1" width="1.7109375" customWidth="1"/>
    <col min="16" max="16" width="1.7109375" customWidth="1"/>
    <col min="19" max="19" width="1.7109375" customWidth="1"/>
    <col min="23" max="23" width="1.7109375" customWidth="1"/>
  </cols>
  <sheetData>
    <row r="1" ht="5.0999999999999996" customHeight="1" x14ac:dyDescent="0.25"/>
    <row r="6" ht="3" customHeight="1" x14ac:dyDescent="0.25"/>
    <row r="11" ht="3" customHeight="1" x14ac:dyDescent="0.25"/>
    <row r="17" ht="3" customHeight="1" x14ac:dyDescent="0.25"/>
    <row r="29"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6" zoomScaleNormal="116" workbookViewId="0">
      <selection activeCell="F2" sqref="F2"/>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5.42578125" bestFit="1" customWidth="1"/>
    <col min="9" max="9" width="13.140625" customWidth="1"/>
    <col min="10" max="10" width="12.42578125" customWidth="1"/>
    <col min="11" max="11" width="6.28515625" bestFit="1" customWidth="1"/>
    <col min="12" max="12" width="11.28515625" customWidth="1"/>
    <col min="13" max="13" width="9.42578125" bestFit="1" customWidth="1"/>
    <col min="14" max="14" width="18.85546875" customWidth="1"/>
    <col min="15" max="15" width="18.140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K15" sqref="K15"/>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G5" sqref="G5"/>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CountryBarChart</vt:lpstr>
      <vt:lpstr>Top5Customers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Vince Lim</cp:lastModifiedBy>
  <cp:revision/>
  <dcterms:created xsi:type="dcterms:W3CDTF">2022-11-26T09:51:45Z</dcterms:created>
  <dcterms:modified xsi:type="dcterms:W3CDTF">2025-06-05T05:37:24Z</dcterms:modified>
  <cp:category/>
  <cp:contentStatus/>
</cp:coreProperties>
</file>